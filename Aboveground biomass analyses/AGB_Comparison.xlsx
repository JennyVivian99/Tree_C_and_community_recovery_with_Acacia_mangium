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eduau-my.sharepoint.com/personal/j_v072_student_usc_edu_au/Documents/Dottorato cose/PhD/R_Analyses/ICCB &amp; Biomass article/DatasetNeat_ICCB/"/>
    </mc:Choice>
  </mc:AlternateContent>
  <xr:revisionPtr revIDLastSave="0" documentId="8_{4FC0A8F9-829A-43FC-920A-DDECB7F108E5}" xr6:coauthVersionLast="47" xr6:coauthVersionMax="47" xr10:uidLastSave="{00000000-0000-0000-0000-000000000000}"/>
  <bookViews>
    <workbookView xWindow="19090" yWindow="-110" windowWidth="19420" windowHeight="10420" xr2:uid="{C20945AB-83DE-4D49-A6F3-3AEB0AF61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4" i="1"/>
  <c r="F2" i="1"/>
  <c r="F3" i="1"/>
</calcChain>
</file>

<file path=xl/sharedStrings.xml><?xml version="1.0" encoding="utf-8"?>
<sst xmlns="http://schemas.openxmlformats.org/spreadsheetml/2006/main" count="10" uniqueCount="10">
  <si>
    <t>Basal area (m2/ha)</t>
  </si>
  <si>
    <t>DBH(cm)</t>
  </si>
  <si>
    <t>Height(m)</t>
  </si>
  <si>
    <t>Tree density(n/ha)</t>
  </si>
  <si>
    <t>Wood density</t>
  </si>
  <si>
    <t>Biomass (t/ha)</t>
  </si>
  <si>
    <t>Average</t>
  </si>
  <si>
    <t>St.D.</t>
  </si>
  <si>
    <t xml:space="preserve">Data from: </t>
  </si>
  <si>
    <r>
      <t>Sakai, A., Visaratana, T., Vacharangkura, T., Ishizuka, M., &amp; Nakamura, S. (2011). Growth performances of three indigenous tree species planted in a mature Acacia mangium plantation with different canopy openness under a tropical monsoon climate. </t>
    </r>
    <r>
      <rPr>
        <i/>
        <sz val="11"/>
        <color theme="1"/>
        <rFont val="Aptos"/>
        <family val="2"/>
      </rPr>
      <t>Japan Agricultural Research Quarterly: JARQ</t>
    </r>
    <r>
      <rPr>
        <sz val="11"/>
        <color theme="1"/>
        <rFont val="Aptos"/>
        <family val="2"/>
      </rPr>
      <t>, </t>
    </r>
    <r>
      <rPr>
        <i/>
        <sz val="11"/>
        <color theme="1"/>
        <rFont val="Aptos"/>
        <family val="2"/>
      </rPr>
      <t>45</t>
    </r>
    <r>
      <rPr>
        <sz val="11"/>
        <color theme="1"/>
        <rFont val="Aptos"/>
        <family val="2"/>
      </rPr>
      <t>(3), 317-326.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</si>
</sst>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BC48-682E-44C9-A2CC-03B5FEB09DA6}">
  <dimension ref="A1:H7"/>
  <sheetViews>
    <sheetView tabSelected="1" workbookViewId="0">
      <selection activeCell="B14" sqref="B14"/>
    </sheetView>
  </sheetViews>
  <sheetFormatPr defaultRowHeight="14.5" x14ac:dyDescent="0.35"/>
  <cols>
    <col min="1" max="1" width="15.54296875" bestFit="1" customWidth="1"/>
    <col min="2" max="2" width="16.1796875" bestFit="1" customWidth="1"/>
    <col min="3" max="3" width="8.26953125" bestFit="1" customWidth="1"/>
    <col min="4" max="4" width="8.90625" bestFit="1" customWidth="1"/>
    <col min="5" max="5" width="11.6328125" bestFit="1" customWidth="1"/>
    <col min="6" max="6" width="12.6328125" style="1" bestFit="1" customWidth="1"/>
  </cols>
  <sheetData>
    <row r="1" spans="1:8" x14ac:dyDescent="0.35">
      <c r="A1" t="s">
        <v>3</v>
      </c>
      <c r="B1" t="s">
        <v>0</v>
      </c>
      <c r="C1" t="s">
        <v>1</v>
      </c>
      <c r="D1" t="s">
        <v>2</v>
      </c>
      <c r="E1" t="s">
        <v>4</v>
      </c>
      <c r="F1" s="1" t="s">
        <v>5</v>
      </c>
      <c r="G1" t="s">
        <v>6</v>
      </c>
      <c r="H1" t="s">
        <v>7</v>
      </c>
    </row>
    <row r="2" spans="1:8" x14ac:dyDescent="0.35">
      <c r="A2">
        <v>741</v>
      </c>
      <c r="B2">
        <v>40.44</v>
      </c>
      <c r="C2">
        <v>25.4</v>
      </c>
      <c r="D2">
        <v>21.5</v>
      </c>
      <c r="E2">
        <v>0.53</v>
      </c>
      <c r="F2" s="1">
        <f>0.0673*(((E2*(C2^2)*D2))^0.976)</f>
        <v>399.57992834949965</v>
      </c>
      <c r="G2" s="1">
        <f>AVERAGE(F2:F4)</f>
        <v>438.73357370483819</v>
      </c>
      <c r="H2" s="1">
        <f>_xlfn.STDEV.S(F2:F4)</f>
        <v>34.336321245002217</v>
      </c>
    </row>
    <row r="3" spans="1:8" x14ac:dyDescent="0.35">
      <c r="A3">
        <v>718</v>
      </c>
      <c r="B3">
        <v>33.76</v>
      </c>
      <c r="C3">
        <v>26</v>
      </c>
      <c r="D3">
        <v>23.9</v>
      </c>
      <c r="E3">
        <v>0.53</v>
      </c>
      <c r="F3" s="1">
        <f>0.0673*(((E3*(C3^2)*D3))^0.976)</f>
        <v>463.71659635857873</v>
      </c>
    </row>
    <row r="4" spans="1:8" x14ac:dyDescent="0.35">
      <c r="A4">
        <v>602</v>
      </c>
      <c r="B4">
        <v>35.090000000000003</v>
      </c>
      <c r="C4">
        <v>26.3</v>
      </c>
      <c r="D4">
        <v>22.8</v>
      </c>
      <c r="E4">
        <v>0.53</v>
      </c>
      <c r="F4" s="1">
        <f>0.0673*(((E4*(C4^2)*D4))^0.976)</f>
        <v>452.9041964064362</v>
      </c>
    </row>
    <row r="7" spans="1:8" x14ac:dyDescent="0.35">
      <c r="A7" t="s">
        <v>8</v>
      </c>
      <c r="B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the Sunshine Coast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Vivian</dc:creator>
  <cp:lastModifiedBy>Jenny Vivian</cp:lastModifiedBy>
  <dcterms:created xsi:type="dcterms:W3CDTF">2025-04-24T06:34:08Z</dcterms:created>
  <dcterms:modified xsi:type="dcterms:W3CDTF">2025-04-24T07:09:12Z</dcterms:modified>
</cp:coreProperties>
</file>